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per\OneDrive\Documentos\Curso Dio\Excel Santander\"/>
    </mc:Choice>
  </mc:AlternateContent>
  <xr:revisionPtr revIDLastSave="0" documentId="13_ncr:1_{5F48566F-2C88-4D70-BD4A-8795E1ADCD67}" xr6:coauthVersionLast="47" xr6:coauthVersionMax="47" xr10:uidLastSave="{00000000-0000-0000-0000-000000000000}"/>
  <bookViews>
    <workbookView xWindow="-120" yWindow="-120" windowWidth="29040" windowHeight="15720" xr2:uid="{6AD9D768-5892-475C-947C-ABD18F192DC7}"/>
  </bookViews>
  <sheets>
    <sheet name="Planilha1" sheetId="2" r:id="rId1"/>
    <sheet name="Planilha3" sheetId="3" r:id="rId2"/>
  </sheets>
  <definedNames>
    <definedName name="Aporte">Planilha1!$E$11</definedName>
    <definedName name="FII_DESENV">Planilha1!$D$33</definedName>
    <definedName name="FII_FOFS">Planilha1!$D$32</definedName>
    <definedName name="FII_HIBRIDOS">Planilha1!$D$31</definedName>
    <definedName name="FII_HOTELARIAS">Planilha1!$D$34</definedName>
    <definedName name="FII_PAPEL">Planilha1!$D$29</definedName>
    <definedName name="FII_TIJOLO">Planilha1!$D$30</definedName>
    <definedName name="Patrimonio">Planilha1!$E$14</definedName>
    <definedName name="Qtd_anos">Planilha1!$E$12</definedName>
    <definedName name="Rendimento_Carteira">Planilha1!$E$7</definedName>
    <definedName name="Salario">Planilha1!$E$6</definedName>
    <definedName name="Taxa_Mensal">Planilha1!$E$13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34" i="2" l="1" a="1"/>
  <c r="D34" i="2" s="1"/>
  <c r="D33" i="2" a="1"/>
  <c r="D33" i="2" s="1"/>
  <c r="D32" i="2" a="1"/>
  <c r="D32" i="2" s="1"/>
  <c r="D31" i="2" a="1"/>
  <c r="D31" i="2" s="1"/>
  <c r="D30" i="2" a="1"/>
  <c r="D30" i="2" s="1"/>
  <c r="D29" i="2" a="1"/>
  <c r="D29" i="2" s="1"/>
  <c r="E29" i="2" s="1"/>
  <c r="D26" i="2"/>
  <c r="D22" i="2"/>
  <c r="E22" i="2" s="1"/>
  <c r="D21" i="2"/>
  <c r="E21" i="2" s="1"/>
  <c r="D20" i="2"/>
  <c r="E20" i="2" s="1"/>
  <c r="D19" i="2"/>
  <c r="E19" i="2" s="1"/>
  <c r="D18" i="2"/>
  <c r="E18" i="2" s="1"/>
  <c r="E14" i="2"/>
  <c r="E15" i="2" s="1"/>
  <c r="E8" i="2"/>
  <c r="E30" i="2" l="1"/>
  <c r="E31" i="2"/>
  <c r="E32" i="2"/>
  <c r="E33" i="2"/>
  <c r="E34" i="2"/>
  <c r="E35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<sst xmlns="http://schemas.openxmlformats.org/spreadsheetml/2006/main" count="42" uniqueCount="33">
  <si>
    <t>Quanto investir por mês?</t>
  </si>
  <si>
    <t>Por quantos anos?</t>
  </si>
  <si>
    <t>Taxa de rendimento mensal?</t>
  </si>
  <si>
    <t>Patrimônio acumulado?</t>
  </si>
  <si>
    <t>Dividendos mensais?</t>
  </si>
  <si>
    <t>INVESTIMENTO MENSAL</t>
  </si>
  <si>
    <t>Quanto em 2 anos?</t>
  </si>
  <si>
    <t>Quanto em 5 anos?</t>
  </si>
  <si>
    <t>Quanto em 10 anos?</t>
  </si>
  <si>
    <t>Quanto em 20 anos?</t>
  </si>
  <si>
    <t>Quanto em 30 anos?</t>
  </si>
  <si>
    <t>Salario</t>
  </si>
  <si>
    <t>Rendimento Carteira</t>
  </si>
  <si>
    <t>Sugestão de Investimento</t>
  </si>
  <si>
    <t>CONFIGURAÇÕES</t>
  </si>
  <si>
    <t>CENÁRIOS</t>
  </si>
  <si>
    <t>DIVIDENDO</t>
  </si>
  <si>
    <t>PERFIL</t>
  </si>
  <si>
    <t>CONSERVADOR</t>
  </si>
  <si>
    <t>AGRESSIVO</t>
  </si>
  <si>
    <t>VALOR A SER INVESTIDO POR MÊS</t>
  </si>
  <si>
    <t>TIPO DE FII</t>
  </si>
  <si>
    <t>% SUGERIDO</t>
  </si>
  <si>
    <t>VALORES</t>
  </si>
  <si>
    <t>PAPEL</t>
  </si>
  <si>
    <t>TIJOLO</t>
  </si>
  <si>
    <t>HIBRIDOS</t>
  </si>
  <si>
    <t>FOFs</t>
  </si>
  <si>
    <t>DESENVOLVIMENTO</t>
  </si>
  <si>
    <t>HOTELARIAS</t>
  </si>
  <si>
    <t>MODERADO</t>
  </si>
  <si>
    <t>TOTAL EM INVESTIMENTO</t>
  </si>
  <si>
    <t>GGN INVESTIMENTOS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</si>
</sst>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&quot;R$&quot;\ #,##0.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2"/>
      <color theme="0"/>
      <name val="Times New Roman"/>
      <family val="1"/>
    </font>
    <font>
      <b/>
      <sz val="36"/>
      <color theme="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-0.49998474074526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theme="8" tint="-0.499984740745262"/>
      </left>
      <right/>
      <top style="thick">
        <color theme="8" tint="-0.499984740745262"/>
      </top>
      <bottom/>
      <diagonal/>
    </border>
    <border>
      <left/>
      <right/>
      <top style="thick">
        <color theme="8" tint="-0.499984740745262"/>
      </top>
      <bottom/>
      <diagonal/>
    </border>
    <border>
      <left/>
      <right style="thick">
        <color theme="8" tint="-0.499984740745262"/>
      </right>
      <top style="thick">
        <color theme="8" tint="-0.499984740745262"/>
      </top>
      <bottom/>
      <diagonal/>
    </border>
    <border>
      <left style="thick">
        <color theme="8" tint="-0.499984740745262"/>
      </left>
      <right/>
      <top/>
      <bottom/>
      <diagonal/>
    </border>
    <border>
      <left/>
      <right style="thick">
        <color theme="8" tint="-0.499984740745262"/>
      </right>
      <top/>
      <bottom/>
      <diagonal/>
    </border>
    <border>
      <left style="thick">
        <color theme="8" tint="-0.499984740745262"/>
      </left>
      <right/>
      <top/>
      <bottom style="thick">
        <color theme="8" tint="-0.499984740745262"/>
      </bottom>
      <diagonal/>
    </border>
    <border>
      <left/>
      <right/>
      <top/>
      <bottom style="thick">
        <color theme="8" tint="-0.499984740745262"/>
      </bottom>
      <diagonal/>
    </border>
    <border>
      <left/>
      <right style="thick">
        <color theme="8" tint="-0.499984740745262"/>
      </right>
      <top/>
      <bottom style="thick">
        <color theme="8" tint="-0.499984740745262"/>
      </bottom>
      <diagonal/>
    </border>
    <border>
      <left style="medium">
        <color indexed="64"/>
      </left>
      <right style="medium">
        <color theme="0"/>
      </right>
      <top style="medium">
        <color indexed="64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indexed="64"/>
      </top>
      <bottom style="medium">
        <color theme="0"/>
      </bottom>
      <diagonal/>
    </border>
    <border>
      <left style="medium">
        <color theme="0"/>
      </left>
      <right style="medium">
        <color indexed="64"/>
      </right>
      <top style="medium">
        <color indexed="64"/>
      </top>
      <bottom style="medium">
        <color theme="0"/>
      </bottom>
      <diagonal/>
    </border>
    <border>
      <left style="medium">
        <color indexed="64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">
        <color indexed="64"/>
      </right>
      <top style="medium">
        <color theme="0"/>
      </top>
      <bottom style="medium">
        <color theme="0"/>
      </bottom>
      <diagonal/>
    </border>
    <border>
      <left style="medium">
        <color indexed="64"/>
      </left>
      <right style="medium">
        <color theme="0"/>
      </right>
      <top style="medium">
        <color theme="0"/>
      </top>
      <bottom style="medium">
        <color indexed="64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indexed="64"/>
      </bottom>
      <diagonal/>
    </border>
    <border>
      <left style="medium">
        <color theme="0"/>
      </left>
      <right style="medium">
        <color indexed="64"/>
      </right>
      <top style="medium">
        <color theme="0"/>
      </top>
      <bottom style="medium">
        <color indexed="64"/>
      </bottom>
      <diagonal/>
    </border>
    <border>
      <left style="medium">
        <color indexed="64"/>
      </left>
      <right style="medium">
        <color theme="0" tint="-0.24994659260841701"/>
      </right>
      <top style="medium">
        <color theme="0"/>
      </top>
      <bottom style="medium">
        <color theme="0" tint="-0.24994659260841701"/>
      </bottom>
      <diagonal/>
    </border>
    <border>
      <left style="medium">
        <color theme="0" tint="-0.24994659260841701"/>
      </left>
      <right style="medium">
        <color theme="0" tint="-0.24994659260841701"/>
      </right>
      <top style="medium">
        <color theme="0"/>
      </top>
      <bottom style="medium">
        <color theme="0" tint="-0.24994659260841701"/>
      </bottom>
      <diagonal/>
    </border>
    <border>
      <left style="medium">
        <color theme="0" tint="-0.24994659260841701"/>
      </left>
      <right style="medium">
        <color indexed="64"/>
      </right>
      <top style="medium">
        <color theme="0"/>
      </top>
      <bottom style="medium">
        <color theme="0" tint="-0.24994659260841701"/>
      </bottom>
      <diagonal/>
    </border>
    <border>
      <left style="medium">
        <color indexed="64"/>
      </left>
      <right style="medium">
        <color theme="0" tint="-0.24994659260841701"/>
      </right>
      <top style="medium">
        <color theme="0" tint="-0.24994659260841701"/>
      </top>
      <bottom style="medium">
        <color theme="0" tint="-0.24994659260841701"/>
      </bottom>
      <diagonal/>
    </border>
    <border>
      <left style="medium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medium">
        <color theme="0" tint="-0.24994659260841701"/>
      </bottom>
      <diagonal/>
    </border>
    <border>
      <left style="medium">
        <color theme="0" tint="-0.24994659260841701"/>
      </left>
      <right style="medium">
        <color indexed="64"/>
      </right>
      <top style="medium">
        <color theme="0" tint="-0.24994659260841701"/>
      </top>
      <bottom style="medium">
        <color theme="0" tint="-0.24994659260841701"/>
      </bottom>
      <diagonal/>
    </border>
    <border>
      <left style="medium">
        <color indexed="64"/>
      </left>
      <right style="medium">
        <color theme="0" tint="-0.24994659260841701"/>
      </right>
      <top style="medium">
        <color theme="0" tint="-0.24994659260841701"/>
      </top>
      <bottom style="medium">
        <color theme="0"/>
      </bottom>
      <diagonal/>
    </border>
    <border>
      <left style="medium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medium">
        <color theme="0"/>
      </bottom>
      <diagonal/>
    </border>
    <border>
      <left style="medium">
        <color theme="0" tint="-0.24994659260841701"/>
      </left>
      <right style="medium">
        <color indexed="64"/>
      </right>
      <top style="medium">
        <color theme="0" tint="-0.24994659260841701"/>
      </top>
      <bottom style="medium">
        <color theme="0"/>
      </bottom>
      <diagonal/>
    </border>
    <border>
      <left style="medium">
        <color indexed="64"/>
      </left>
      <right style="medium">
        <color theme="0" tint="-0.24994659260841701"/>
      </right>
      <top style="medium">
        <color theme="0" tint="-0.24994659260841701"/>
      </top>
      <bottom style="medium">
        <color indexed="64"/>
      </bottom>
      <diagonal/>
    </border>
    <border>
      <left style="medium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medium">
        <color indexed="64"/>
      </bottom>
      <diagonal/>
    </border>
    <border>
      <left style="medium">
        <color theme="0" tint="-0.24994659260841701"/>
      </left>
      <right style="medium">
        <color indexed="64"/>
      </right>
      <top style="medium">
        <color theme="0" tint="-0.24994659260841701"/>
      </top>
      <bottom style="medium">
        <color indexed="64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theme="0"/>
      </top>
      <bottom style="thin">
        <color indexed="64"/>
      </bottom>
      <diagonal/>
    </border>
    <border>
      <left style="medium">
        <color theme="0"/>
      </left>
      <right/>
      <top style="medium">
        <color indexed="64"/>
      </top>
      <bottom style="medium">
        <color theme="0"/>
      </bottom>
      <diagonal/>
    </border>
    <border>
      <left/>
      <right style="medium">
        <color indexed="64"/>
      </right>
      <top style="medium">
        <color indexed="64"/>
      </top>
      <bottom style="medium">
        <color theme="0"/>
      </bottom>
      <diagonal/>
    </border>
    <border>
      <left style="medium">
        <color theme="0"/>
      </left>
      <right/>
      <top style="medium">
        <color theme="0"/>
      </top>
      <bottom style="medium">
        <color indexed="64"/>
      </bottom>
      <diagonal/>
    </border>
    <border>
      <left/>
      <right style="medium">
        <color indexed="64"/>
      </right>
      <top style="medium">
        <color theme="0"/>
      </top>
      <bottom style="medium">
        <color indexed="64"/>
      </bottom>
      <diagonal/>
    </border>
    <border>
      <left style="thick">
        <color auto="1"/>
      </left>
      <right style="thick">
        <color theme="0"/>
      </right>
      <top style="thick">
        <color auto="1"/>
      </top>
      <bottom style="thick">
        <color theme="0"/>
      </bottom>
      <diagonal/>
    </border>
    <border>
      <left style="thick">
        <color theme="0"/>
      </left>
      <right style="thick">
        <color theme="0"/>
      </right>
      <top style="thick">
        <color auto="1"/>
      </top>
      <bottom style="thick">
        <color theme="0"/>
      </bottom>
      <diagonal/>
    </border>
    <border>
      <left style="thick">
        <color theme="0"/>
      </left>
      <right style="thick">
        <color auto="1"/>
      </right>
      <top style="thick">
        <color auto="1"/>
      </top>
      <bottom style="thick">
        <color theme="0"/>
      </bottom>
      <diagonal/>
    </border>
    <border>
      <left style="thick">
        <color auto="1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 style="thick">
        <color auto="1"/>
      </right>
      <top style="thick">
        <color theme="0"/>
      </top>
      <bottom style="thick">
        <color auto="1"/>
      </bottom>
      <diagonal/>
    </border>
    <border>
      <left style="thick">
        <color auto="1"/>
      </left>
      <right/>
      <top style="thick">
        <color theme="0"/>
      </top>
      <bottom style="thick">
        <color auto="1"/>
      </bottom>
      <diagonal/>
    </border>
    <border>
      <left/>
      <right style="thick">
        <color theme="0"/>
      </right>
      <top style="thick">
        <color theme="0"/>
      </top>
      <bottom style="thick">
        <color auto="1"/>
      </bottom>
      <diagonal/>
    </border>
    <border>
      <left style="thick">
        <color theme="0"/>
      </left>
      <right style="thick">
        <color theme="0" tint="-0.14996795556505021"/>
      </right>
      <top style="thick">
        <color theme="0"/>
      </top>
      <bottom style="thick">
        <color theme="0" tint="-0.14996795556505021"/>
      </bottom>
      <diagonal/>
    </border>
    <border>
      <left style="thick">
        <color theme="0" tint="-0.14996795556505021"/>
      </left>
      <right style="thick">
        <color auto="1"/>
      </right>
      <top style="thick">
        <color theme="0"/>
      </top>
      <bottom style="thick">
        <color theme="0" tint="-0.14996795556505021"/>
      </bottom>
      <diagonal/>
    </border>
    <border>
      <left style="thick">
        <color theme="0"/>
      </left>
      <right style="thick">
        <color theme="0" tint="-0.14996795556505021"/>
      </right>
      <top style="thick">
        <color theme="0" tint="-0.14996795556505021"/>
      </top>
      <bottom style="thick">
        <color theme="0" tint="-0.14996795556505021"/>
      </bottom>
      <diagonal/>
    </border>
    <border>
      <left style="thick">
        <color theme="0" tint="-0.14996795556505021"/>
      </left>
      <right style="thick">
        <color auto="1"/>
      </right>
      <top style="thick">
        <color theme="0" tint="-0.14996795556505021"/>
      </top>
      <bottom style="thick">
        <color theme="0" tint="-0.14996795556505021"/>
      </bottom>
      <diagonal/>
    </border>
    <border>
      <left style="thick">
        <color theme="0"/>
      </left>
      <right style="thick">
        <color theme="0" tint="-0.14996795556505021"/>
      </right>
      <top style="thick">
        <color theme="0" tint="-0.14996795556505021"/>
      </top>
      <bottom style="thick">
        <color theme="0"/>
      </bottom>
      <diagonal/>
    </border>
    <border>
      <left style="thick">
        <color theme="0" tint="-0.14996795556505021"/>
      </left>
      <right style="thick">
        <color auto="1"/>
      </right>
      <top style="thick">
        <color theme="0" tint="-0.14996795556505021"/>
      </top>
      <bottom style="thick">
        <color theme="0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82">
    <xf numFmtId="0" fontId="0" fillId="0" borderId="0" xfId="0"/>
    <xf numFmtId="0" fontId="2" fillId="0" borderId="0" xfId="0" applyFont="1"/>
    <xf numFmtId="0" fontId="0" fillId="5" borderId="2" xfId="0" applyFill="1" applyBorder="1"/>
    <xf numFmtId="0" fontId="0" fillId="5" borderId="3" xfId="0" applyFill="1" applyBorder="1"/>
    <xf numFmtId="0" fontId="0" fillId="5" borderId="4" xfId="0" applyFill="1" applyBorder="1"/>
    <xf numFmtId="0" fontId="0" fillId="5" borderId="5" xfId="0" applyFill="1" applyBorder="1"/>
    <xf numFmtId="0" fontId="0" fillId="5" borderId="0" xfId="0" applyFill="1" applyBorder="1"/>
    <xf numFmtId="0" fontId="0" fillId="5" borderId="6" xfId="0" applyFill="1" applyBorder="1"/>
    <xf numFmtId="0" fontId="0" fillId="5" borderId="7" xfId="0" applyFill="1" applyBorder="1"/>
    <xf numFmtId="0" fontId="0" fillId="5" borderId="8" xfId="0" applyFill="1" applyBorder="1"/>
    <xf numFmtId="0" fontId="0" fillId="5" borderId="9" xfId="0" applyFill="1" applyBorder="1"/>
    <xf numFmtId="0" fontId="5" fillId="0" borderId="0" xfId="0" applyFont="1"/>
    <xf numFmtId="0" fontId="4" fillId="2" borderId="12" xfId="0" applyFont="1" applyFill="1" applyBorder="1" applyAlignment="1">
      <alignment horizontal="center" vertical="center"/>
    </xf>
    <xf numFmtId="8" fontId="7" fillId="6" borderId="15" xfId="0" applyNumberFormat="1" applyFont="1" applyFill="1" applyBorder="1" applyAlignment="1">
      <alignment horizontal="center" vertical="center"/>
    </xf>
    <xf numFmtId="8" fontId="7" fillId="6" borderId="18" xfId="0" applyNumberFormat="1" applyFont="1" applyFill="1" applyBorder="1" applyAlignment="1">
      <alignment horizontal="center" vertical="center"/>
    </xf>
    <xf numFmtId="0" fontId="7" fillId="6" borderId="13" xfId="0" applyFont="1" applyFill="1" applyBorder="1" applyAlignment="1">
      <alignment horizontal="left" indent="3"/>
    </xf>
    <xf numFmtId="164" fontId="7" fillId="6" borderId="14" xfId="1" applyNumberFormat="1" applyFont="1" applyFill="1" applyBorder="1" applyAlignment="1">
      <alignment horizontal="center"/>
    </xf>
    <xf numFmtId="164" fontId="7" fillId="6" borderId="15" xfId="1" applyNumberFormat="1" applyFont="1" applyFill="1" applyBorder="1" applyAlignment="1">
      <alignment horizontal="center"/>
    </xf>
    <xf numFmtId="0" fontId="7" fillId="6" borderId="16" xfId="0" applyFont="1" applyFill="1" applyBorder="1" applyAlignment="1">
      <alignment horizontal="left" indent="3"/>
    </xf>
    <xf numFmtId="164" fontId="7" fillId="6" borderId="17" xfId="1" applyNumberFormat="1" applyFont="1" applyFill="1" applyBorder="1" applyAlignment="1">
      <alignment horizontal="center"/>
    </xf>
    <xf numFmtId="164" fontId="7" fillId="6" borderId="18" xfId="1" applyNumberFormat="1" applyFont="1" applyFill="1" applyBorder="1" applyAlignment="1">
      <alignment horizontal="center"/>
    </xf>
    <xf numFmtId="164" fontId="7" fillId="0" borderId="21" xfId="1" applyNumberFormat="1" applyFont="1" applyBorder="1" applyAlignment="1">
      <alignment horizontal="center" vertical="center"/>
    </xf>
    <xf numFmtId="1" fontId="7" fillId="0" borderId="24" xfId="0" applyNumberFormat="1" applyFont="1" applyBorder="1" applyAlignment="1">
      <alignment horizontal="center" vertical="center"/>
    </xf>
    <xf numFmtId="10" fontId="7" fillId="0" borderId="27" xfId="0" applyNumberFormat="1" applyFont="1" applyBorder="1" applyAlignment="1">
      <alignment horizontal="center" vertical="center"/>
    </xf>
    <xf numFmtId="164" fontId="6" fillId="0" borderId="21" xfId="1" applyNumberFormat="1" applyFont="1" applyBorder="1" applyAlignment="1">
      <alignment horizontal="center"/>
    </xf>
    <xf numFmtId="10" fontId="6" fillId="0" borderId="24" xfId="2" applyNumberFormat="1" applyFont="1" applyBorder="1" applyAlignment="1">
      <alignment horizontal="center"/>
    </xf>
    <xf numFmtId="164" fontId="6" fillId="0" borderId="30" xfId="1" applyNumberFormat="1" applyFont="1" applyBorder="1" applyAlignment="1">
      <alignment horizontal="center"/>
    </xf>
    <xf numFmtId="0" fontId="6" fillId="0" borderId="0" xfId="0" applyFont="1"/>
    <xf numFmtId="9" fontId="0" fillId="0" borderId="1" xfId="2" applyFont="1" applyBorder="1" applyAlignment="1">
      <alignment horizontal="center"/>
    </xf>
    <xf numFmtId="0" fontId="7" fillId="6" borderId="16" xfId="0" applyFont="1" applyFill="1" applyBorder="1" applyAlignment="1">
      <alignment horizontal="left" indent="3"/>
    </xf>
    <xf numFmtId="0" fontId="7" fillId="6" borderId="17" xfId="0" applyFont="1" applyFill="1" applyBorder="1" applyAlignment="1">
      <alignment horizontal="left" indent="3"/>
    </xf>
    <xf numFmtId="0" fontId="6" fillId="3" borderId="19" xfId="0" applyFont="1" applyFill="1" applyBorder="1" applyAlignment="1">
      <alignment horizontal="left" indent="3"/>
    </xf>
    <xf numFmtId="0" fontId="6" fillId="3" borderId="20" xfId="0" applyFont="1" applyFill="1" applyBorder="1" applyAlignment="1">
      <alignment horizontal="left" indent="3"/>
    </xf>
    <xf numFmtId="0" fontId="6" fillId="3" borderId="22" xfId="0" applyFont="1" applyFill="1" applyBorder="1" applyAlignment="1">
      <alignment horizontal="left" indent="3"/>
    </xf>
    <xf numFmtId="0" fontId="6" fillId="3" borderId="23" xfId="0" applyFont="1" applyFill="1" applyBorder="1" applyAlignment="1">
      <alignment horizontal="left" indent="3"/>
    </xf>
    <xf numFmtId="0" fontId="6" fillId="3" borderId="28" xfId="0" applyFont="1" applyFill="1" applyBorder="1" applyAlignment="1">
      <alignment horizontal="left" indent="3"/>
    </xf>
    <xf numFmtId="0" fontId="6" fillId="3" borderId="29" xfId="0" applyFont="1" applyFill="1" applyBorder="1" applyAlignment="1">
      <alignment horizontal="left" indent="3"/>
    </xf>
    <xf numFmtId="0" fontId="3" fillId="4" borderId="10" xfId="0" applyFont="1" applyFill="1" applyBorder="1" applyAlignment="1">
      <alignment horizontal="left" vertical="center"/>
    </xf>
    <xf numFmtId="0" fontId="3" fillId="4" borderId="11" xfId="0" applyFont="1" applyFill="1" applyBorder="1" applyAlignment="1">
      <alignment horizontal="left" vertical="center"/>
    </xf>
    <xf numFmtId="0" fontId="3" fillId="4" borderId="12" xfId="0" applyFont="1" applyFill="1" applyBorder="1" applyAlignment="1">
      <alignment horizontal="left" vertical="center"/>
    </xf>
    <xf numFmtId="0" fontId="3" fillId="2" borderId="10" xfId="0" applyFont="1" applyFill="1" applyBorder="1" applyAlignment="1">
      <alignment horizontal="left" vertical="center"/>
    </xf>
    <xf numFmtId="0" fontId="3" fillId="2" borderId="11" xfId="0" applyFont="1" applyFill="1" applyBorder="1" applyAlignment="1">
      <alignment horizontal="left" vertical="center"/>
    </xf>
    <xf numFmtId="0" fontId="3" fillId="2" borderId="12" xfId="0" applyFont="1" applyFill="1" applyBorder="1" applyAlignment="1">
      <alignment horizontal="left" vertical="center"/>
    </xf>
    <xf numFmtId="0" fontId="6" fillId="0" borderId="19" xfId="0" applyFont="1" applyBorder="1" applyAlignment="1">
      <alignment horizontal="left" indent="3"/>
    </xf>
    <xf numFmtId="0" fontId="6" fillId="0" borderId="20" xfId="0" applyFont="1" applyBorder="1" applyAlignment="1">
      <alignment horizontal="left" indent="3"/>
    </xf>
    <xf numFmtId="0" fontId="6" fillId="0" borderId="22" xfId="0" applyFont="1" applyBorder="1" applyAlignment="1">
      <alignment horizontal="left" indent="3"/>
    </xf>
    <xf numFmtId="0" fontId="6" fillId="0" borderId="23" xfId="0" applyFont="1" applyBorder="1" applyAlignment="1">
      <alignment horizontal="left" indent="3"/>
    </xf>
    <xf numFmtId="0" fontId="6" fillId="0" borderId="25" xfId="0" applyFont="1" applyBorder="1" applyAlignment="1">
      <alignment horizontal="left" indent="3"/>
    </xf>
    <xf numFmtId="0" fontId="6" fillId="0" borderId="26" xfId="0" applyFont="1" applyBorder="1" applyAlignment="1">
      <alignment horizontal="left" indent="3"/>
    </xf>
    <xf numFmtId="0" fontId="7" fillId="6" borderId="13" xfId="0" applyFont="1" applyFill="1" applyBorder="1" applyAlignment="1">
      <alignment horizontal="left" indent="3"/>
    </xf>
    <xf numFmtId="0" fontId="7" fillId="6" borderId="14" xfId="0" applyFont="1" applyFill="1" applyBorder="1" applyAlignment="1">
      <alignment horizontal="left" indent="3"/>
    </xf>
    <xf numFmtId="0" fontId="8" fillId="8" borderId="31" xfId="0" applyFont="1" applyFill="1" applyBorder="1" applyAlignment="1">
      <alignment horizontal="center" vertical="center"/>
    </xf>
    <xf numFmtId="0" fontId="8" fillId="8" borderId="32" xfId="0" applyFont="1" applyFill="1" applyBorder="1" applyAlignment="1">
      <alignment horizontal="center"/>
    </xf>
    <xf numFmtId="0" fontId="8" fillId="8" borderId="33" xfId="0" applyFont="1" applyFill="1" applyBorder="1" applyAlignment="1">
      <alignment horizontal="center"/>
    </xf>
    <xf numFmtId="0" fontId="8" fillId="8" borderId="34" xfId="0" applyFont="1" applyFill="1" applyBorder="1" applyAlignment="1">
      <alignment horizontal="center" vertical="center"/>
    </xf>
    <xf numFmtId="0" fontId="8" fillId="8" borderId="35" xfId="0" applyFont="1" applyFill="1" applyBorder="1" applyAlignment="1">
      <alignment horizontal="center"/>
    </xf>
    <xf numFmtId="0" fontId="8" fillId="8" borderId="36" xfId="0" applyFont="1" applyFill="1" applyBorder="1" applyAlignment="1">
      <alignment horizontal="center"/>
    </xf>
    <xf numFmtId="0" fontId="7" fillId="6" borderId="37" xfId="0" applyFont="1" applyFill="1" applyBorder="1" applyAlignment="1">
      <alignment horizontal="center"/>
    </xf>
    <xf numFmtId="0" fontId="7" fillId="6" borderId="38" xfId="0" applyFont="1" applyFill="1" applyBorder="1" applyAlignment="1">
      <alignment horizontal="center"/>
    </xf>
    <xf numFmtId="0" fontId="7" fillId="6" borderId="39" xfId="0" applyFont="1" applyFill="1" applyBorder="1" applyAlignment="1">
      <alignment horizontal="center"/>
    </xf>
    <xf numFmtId="0" fontId="9" fillId="5" borderId="3" xfId="0" applyFont="1" applyFill="1" applyBorder="1" applyAlignment="1">
      <alignment horizontal="center" vertical="center"/>
    </xf>
    <xf numFmtId="0" fontId="9" fillId="5" borderId="0" xfId="0" applyFont="1" applyFill="1" applyBorder="1" applyAlignment="1">
      <alignment horizontal="center" vertical="center"/>
    </xf>
    <xf numFmtId="0" fontId="9" fillId="5" borderId="8" xfId="0" applyFont="1" applyFill="1" applyBorder="1" applyAlignment="1">
      <alignment horizontal="center" vertical="center"/>
    </xf>
    <xf numFmtId="0" fontId="7" fillId="7" borderId="10" xfId="0" applyFont="1" applyFill="1" applyBorder="1" applyAlignment="1">
      <alignment horizontal="left" indent="3"/>
    </xf>
    <xf numFmtId="0" fontId="7" fillId="7" borderId="40" xfId="0" applyFont="1" applyFill="1" applyBorder="1" applyAlignment="1">
      <alignment horizontal="center"/>
    </xf>
    <xf numFmtId="0" fontId="7" fillId="7" borderId="41" xfId="0" applyFont="1" applyFill="1" applyBorder="1" applyAlignment="1">
      <alignment horizontal="center"/>
    </xf>
    <xf numFmtId="0" fontId="7" fillId="3" borderId="16" xfId="0" applyFont="1" applyFill="1" applyBorder="1" applyAlignment="1">
      <alignment horizontal="left" indent="3"/>
    </xf>
    <xf numFmtId="164" fontId="7" fillId="3" borderId="42" xfId="0" applyNumberFormat="1" applyFont="1" applyFill="1" applyBorder="1" applyAlignment="1">
      <alignment horizontal="center"/>
    </xf>
    <xf numFmtId="164" fontId="7" fillId="3" borderId="43" xfId="0" applyNumberFormat="1" applyFont="1" applyFill="1" applyBorder="1" applyAlignment="1">
      <alignment horizontal="center"/>
    </xf>
    <xf numFmtId="0" fontId="7" fillId="6" borderId="47" xfId="0" applyFont="1" applyFill="1" applyBorder="1" applyAlignment="1">
      <alignment horizontal="center"/>
    </xf>
    <xf numFmtId="164" fontId="7" fillId="6" borderId="48" xfId="0" applyNumberFormat="1" applyFont="1" applyFill="1" applyBorder="1" applyAlignment="1">
      <alignment horizontal="center"/>
    </xf>
    <xf numFmtId="0" fontId="8" fillId="9" borderId="44" xfId="0" applyFont="1" applyFill="1" applyBorder="1" applyAlignment="1">
      <alignment horizontal="center"/>
    </xf>
    <xf numFmtId="0" fontId="8" fillId="9" borderId="46" xfId="0" applyFont="1" applyFill="1" applyBorder="1" applyAlignment="1">
      <alignment horizontal="left" indent="3"/>
    </xf>
    <xf numFmtId="0" fontId="8" fillId="9" borderId="45" xfId="0" applyFont="1" applyFill="1" applyBorder="1" applyAlignment="1">
      <alignment horizontal="center"/>
    </xf>
    <xf numFmtId="0" fontId="7" fillId="6" borderId="49" xfId="0" applyFont="1" applyFill="1" applyBorder="1" applyAlignment="1">
      <alignment horizontal="center"/>
    </xf>
    <xf numFmtId="0" fontId="7" fillId="6" borderId="50" xfId="0" applyFont="1" applyFill="1" applyBorder="1" applyAlignment="1">
      <alignment horizontal="center"/>
    </xf>
    <xf numFmtId="9" fontId="6" fillId="0" borderId="51" xfId="0" applyNumberFormat="1" applyFont="1" applyBorder="1" applyAlignment="1">
      <alignment horizontal="center"/>
    </xf>
    <xf numFmtId="164" fontId="6" fillId="0" borderId="52" xfId="0" applyNumberFormat="1" applyFont="1" applyBorder="1" applyAlignment="1">
      <alignment horizontal="center"/>
    </xf>
    <xf numFmtId="9" fontId="6" fillId="0" borderId="53" xfId="0" applyNumberFormat="1" applyFont="1" applyBorder="1" applyAlignment="1">
      <alignment horizontal="center"/>
    </xf>
    <xf numFmtId="164" fontId="6" fillId="0" borderId="54" xfId="0" applyNumberFormat="1" applyFont="1" applyBorder="1" applyAlignment="1">
      <alignment horizontal="center"/>
    </xf>
    <xf numFmtId="9" fontId="6" fillId="0" borderId="55" xfId="0" applyNumberFormat="1" applyFont="1" applyBorder="1" applyAlignment="1">
      <alignment horizontal="center"/>
    </xf>
    <xf numFmtId="164" fontId="6" fillId="0" borderId="56" xfId="0" applyNumberFormat="1" applyFont="1" applyBorder="1" applyAlignment="1">
      <alignment horizontal="center"/>
    </xf>
  </cellXfs>
  <cellStyles count="3">
    <cellStyle name="Moeda" xfId="1" builtinId="4"/>
    <cellStyle name="Normal" xfId="0" builtinId="0"/>
    <cellStyle name="Porcentagem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pt-BR" sz="1800" b="1">
                <a:latin typeface="Times New Roman" panose="02020603050405020304" pitchFamily="18" charset="0"/>
                <a:cs typeface="Times New Roman" panose="02020603050405020304" pitchFamily="18" charset="0"/>
              </a:rPr>
              <a:t>DISTRIBUIÇÃO</a:t>
            </a:r>
            <a:r>
              <a:rPr lang="pt-BR" sz="18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 DE INVESTIMENTO</a:t>
            </a:r>
            <a:endParaRPr lang="pt-BR" sz="1800" b="1"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</a:schemeClr>
                  </a:gs>
                  <a:gs pos="0">
                    <a:schemeClr val="accent1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gradFill>
                <a:gsLst>
                  <a:gs pos="100000">
                    <a:schemeClr val="accent2">
                      <a:lumMod val="60000"/>
                      <a:lumOff val="40000"/>
                    </a:schemeClr>
                  </a:gs>
                  <a:gs pos="0">
                    <a:schemeClr val="accent2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gradFill>
                <a:gsLst>
                  <a:gs pos="100000">
                    <a:schemeClr val="accent3">
                      <a:lumMod val="60000"/>
                      <a:lumOff val="40000"/>
                    </a:schemeClr>
                  </a:gs>
                  <a:gs pos="0">
                    <a:schemeClr val="accent3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gradFill>
                <a:gsLst>
                  <a:gs pos="100000">
                    <a:schemeClr val="accent4">
                      <a:lumMod val="60000"/>
                      <a:lumOff val="40000"/>
                    </a:schemeClr>
                  </a:gs>
                  <a:gs pos="0">
                    <a:schemeClr val="accent4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gradFill>
                <a:gsLst>
                  <a:gs pos="100000">
                    <a:schemeClr val="accent5">
                      <a:lumMod val="60000"/>
                      <a:lumOff val="40000"/>
                    </a:schemeClr>
                  </a:gs>
                  <a:gs pos="0">
                    <a:schemeClr val="accent5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gradFill>
                <a:gsLst>
                  <a:gs pos="100000">
                    <a:schemeClr val="accent6">
                      <a:lumMod val="60000"/>
                      <a:lumOff val="40000"/>
                    </a:schemeClr>
                  </a:gs>
                  <a:gs pos="0">
                    <a:schemeClr val="accent6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Planilha1!$C$29:$C$34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HIBRIDOS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Planilha1!$D$29:$D$34</c:f>
              <c:numCache>
                <c:formatCode>0%</c:formatCode>
                <c:ptCount val="6"/>
                <c:pt idx="0">
                  <c:v>0.5</c:v>
                </c:pt>
                <c:pt idx="1">
                  <c:v>0.1</c:v>
                </c:pt>
                <c:pt idx="2">
                  <c:v>0.05</c:v>
                </c:pt>
                <c:pt idx="3">
                  <c:v>0.05</c:v>
                </c:pt>
                <c:pt idx="4">
                  <c:v>0.2</c:v>
                </c:pt>
                <c:pt idx="5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92-4FC7-BA9C-DD31555512E6}"/>
            </c:ext>
          </c:extLst>
        </c:ser>
        <c:ser>
          <c:idx val="1"/>
          <c:order val="1"/>
          <c:dPt>
            <c:idx val="0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</a:schemeClr>
                  </a:gs>
                  <a:gs pos="0">
                    <a:schemeClr val="accent1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gradFill>
                <a:gsLst>
                  <a:gs pos="100000">
                    <a:schemeClr val="accent2">
                      <a:lumMod val="60000"/>
                      <a:lumOff val="40000"/>
                    </a:schemeClr>
                  </a:gs>
                  <a:gs pos="0">
                    <a:schemeClr val="accent2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gradFill>
                <a:gsLst>
                  <a:gs pos="100000">
                    <a:schemeClr val="accent3">
                      <a:lumMod val="60000"/>
                      <a:lumOff val="40000"/>
                    </a:schemeClr>
                  </a:gs>
                  <a:gs pos="0">
                    <a:schemeClr val="accent3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gradFill>
                <a:gsLst>
                  <a:gs pos="100000">
                    <a:schemeClr val="accent4">
                      <a:lumMod val="60000"/>
                      <a:lumOff val="40000"/>
                    </a:schemeClr>
                  </a:gs>
                  <a:gs pos="0">
                    <a:schemeClr val="accent4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gradFill>
                <a:gsLst>
                  <a:gs pos="100000">
                    <a:schemeClr val="accent5">
                      <a:lumMod val="60000"/>
                      <a:lumOff val="40000"/>
                    </a:schemeClr>
                  </a:gs>
                  <a:gs pos="0">
                    <a:schemeClr val="accent5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gradFill>
                <a:gsLst>
                  <a:gs pos="100000">
                    <a:schemeClr val="accent6">
                      <a:lumMod val="60000"/>
                      <a:lumOff val="40000"/>
                    </a:schemeClr>
                  </a:gs>
                  <a:gs pos="0">
                    <a:schemeClr val="accent6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Planilha1!$C$29:$C$34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HIBRIDOS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Planilha1!$E$29:$E$34</c:f>
              <c:numCache>
                <c:formatCode>"R$"\ #,##0.00</c:formatCode>
                <c:ptCount val="6"/>
                <c:pt idx="0">
                  <c:v>350</c:v>
                </c:pt>
                <c:pt idx="1">
                  <c:v>70</c:v>
                </c:pt>
                <c:pt idx="2">
                  <c:v>35</c:v>
                </c:pt>
                <c:pt idx="3">
                  <c:v>35</c:v>
                </c:pt>
                <c:pt idx="4">
                  <c:v>140</c:v>
                </c:pt>
                <c:pt idx="5">
                  <c:v>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492-4FC7-BA9C-DD31555512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pattFill prst="dkDnDiag">
      <a:fgClr>
        <a:schemeClr val="lt1"/>
      </a:fgClr>
      <a:bgClr>
        <a:schemeClr val="dk1">
          <a:lumMod val="10000"/>
          <a:lumOff val="90000"/>
        </a:schemeClr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/>
        </a:fgClr>
        <a:bgClr>
          <a:schemeClr val="dk1">
            <a:lumMod val="10000"/>
            <a:lumOff val="90000"/>
          </a:schemeClr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508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50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28576</xdr:colOff>
      <xdr:row>0</xdr:row>
      <xdr:rowOff>28576</xdr:rowOff>
    </xdr:from>
    <xdr:to>
      <xdr:col>2</xdr:col>
      <xdr:colOff>414050</xdr:colOff>
      <xdr:row>2</xdr:row>
      <xdr:rowOff>352426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DD012E16-AAEA-407B-825F-AC5837DB8B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6" y="28576"/>
          <a:ext cx="1014124" cy="1085850"/>
        </a:xfrm>
        <a:prstGeom prst="rect">
          <a:avLst/>
        </a:prstGeom>
      </xdr:spPr>
    </xdr:pic>
    <xdr:clientData/>
  </xdr:twoCellAnchor>
  <xdr:twoCellAnchor editAs="oneCell">
    <xdr:from>
      <xdr:col>4</xdr:col>
      <xdr:colOff>919451</xdr:colOff>
      <xdr:row>0</xdr:row>
      <xdr:rowOff>28576</xdr:rowOff>
    </xdr:from>
    <xdr:to>
      <xdr:col>6</xdr:col>
      <xdr:colOff>304800</xdr:colOff>
      <xdr:row>2</xdr:row>
      <xdr:rowOff>352426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029AB1DF-95F1-42C3-BFB1-C113DCB7CD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01026" y="28576"/>
          <a:ext cx="1014124" cy="1085850"/>
        </a:xfrm>
        <a:prstGeom prst="rect">
          <a:avLst/>
        </a:prstGeom>
      </xdr:spPr>
    </xdr:pic>
    <xdr:clientData/>
  </xdr:twoCellAnchor>
  <xdr:twoCellAnchor>
    <xdr:from>
      <xdr:col>1</xdr:col>
      <xdr:colOff>309561</xdr:colOff>
      <xdr:row>35</xdr:row>
      <xdr:rowOff>152399</xdr:rowOff>
    </xdr:from>
    <xdr:to>
      <xdr:col>5</xdr:col>
      <xdr:colOff>9524</xdr:colOff>
      <xdr:row>52</xdr:row>
      <xdr:rowOff>190499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0912A4F-2D3F-4C2E-9030-A301E0BB20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81E3F3-D146-4C6F-AF6B-E817B4387D8D}">
  <dimension ref="A1:H61"/>
  <sheetViews>
    <sheetView showGridLines="0" tabSelected="1" workbookViewId="0">
      <selection activeCell="G7" sqref="G7"/>
    </sheetView>
  </sheetViews>
  <sheetFormatPr defaultColWidth="0" defaultRowHeight="15" zeroHeight="1" x14ac:dyDescent="0.25"/>
  <cols>
    <col min="1" max="2" width="4.7109375" customWidth="1"/>
    <col min="3" max="3" width="45.5703125" customWidth="1"/>
    <col min="4" max="5" width="19.7109375" customWidth="1"/>
    <col min="6" max="7" width="4.7109375" customWidth="1"/>
    <col min="8" max="8" width="0.5703125" customWidth="1"/>
    <col min="9" max="16384" width="9.140625" hidden="1"/>
  </cols>
  <sheetData>
    <row r="1" spans="1:7" ht="30" customHeight="1" thickTop="1" x14ac:dyDescent="0.25">
      <c r="A1" s="2"/>
      <c r="B1" s="3"/>
      <c r="C1" s="60" t="s">
        <v>32</v>
      </c>
      <c r="D1" s="60"/>
      <c r="E1" s="60"/>
      <c r="F1" s="3"/>
      <c r="G1" s="4"/>
    </row>
    <row r="2" spans="1:7" ht="30" customHeight="1" x14ac:dyDescent="0.25">
      <c r="A2" s="5"/>
      <c r="B2" s="6"/>
      <c r="C2" s="61"/>
      <c r="D2" s="61"/>
      <c r="E2" s="61"/>
      <c r="F2" s="6"/>
      <c r="G2" s="7"/>
    </row>
    <row r="3" spans="1:7" ht="30" customHeight="1" thickBot="1" x14ac:dyDescent="0.3">
      <c r="A3" s="8"/>
      <c r="B3" s="9"/>
      <c r="C3" s="62"/>
      <c r="D3" s="62"/>
      <c r="E3" s="62"/>
      <c r="F3" s="9"/>
      <c r="G3" s="10"/>
    </row>
    <row r="4" spans="1:7" ht="16.5" thickTop="1" thickBot="1" x14ac:dyDescent="0.3">
      <c r="A4" s="11"/>
      <c r="B4" s="11"/>
    </row>
    <row r="5" spans="1:7" ht="30" customHeight="1" thickBot="1" x14ac:dyDescent="0.3">
      <c r="A5" s="11"/>
      <c r="B5" s="11"/>
      <c r="C5" s="37" t="s">
        <v>14</v>
      </c>
      <c r="D5" s="38"/>
      <c r="E5" s="39"/>
    </row>
    <row r="6" spans="1:7" ht="18" customHeight="1" thickBot="1" x14ac:dyDescent="0.3">
      <c r="A6" s="11"/>
      <c r="B6" s="11"/>
      <c r="C6" s="31" t="s">
        <v>11</v>
      </c>
      <c r="D6" s="32"/>
      <c r="E6" s="24">
        <v>3000</v>
      </c>
    </row>
    <row r="7" spans="1:7" ht="18" customHeight="1" thickBot="1" x14ac:dyDescent="0.3">
      <c r="A7" s="11"/>
      <c r="B7" s="11"/>
      <c r="C7" s="33" t="s">
        <v>12</v>
      </c>
      <c r="D7" s="34"/>
      <c r="E7" s="25">
        <v>6.0000000000000001E-3</v>
      </c>
    </row>
    <row r="8" spans="1:7" ht="18" customHeight="1" thickBot="1" x14ac:dyDescent="0.3">
      <c r="A8" s="11"/>
      <c r="B8" s="11"/>
      <c r="C8" s="35" t="s">
        <v>13</v>
      </c>
      <c r="D8" s="36"/>
      <c r="E8" s="26">
        <f>Salario*30%</f>
        <v>900</v>
      </c>
    </row>
    <row r="9" spans="1:7" ht="15.75" thickBot="1" x14ac:dyDescent="0.3">
      <c r="A9" s="11"/>
    </row>
    <row r="10" spans="1:7" ht="27" thickBot="1" x14ac:dyDescent="0.3">
      <c r="A10" s="11"/>
      <c r="C10" s="40" t="s">
        <v>5</v>
      </c>
      <c r="D10" s="41"/>
      <c r="E10" s="42"/>
    </row>
    <row r="11" spans="1:7" ht="16.5" thickBot="1" x14ac:dyDescent="0.3">
      <c r="A11" s="11"/>
      <c r="C11" s="43" t="s">
        <v>0</v>
      </c>
      <c r="D11" s="44"/>
      <c r="E11" s="21">
        <v>700</v>
      </c>
    </row>
    <row r="12" spans="1:7" ht="16.5" thickBot="1" x14ac:dyDescent="0.3">
      <c r="A12" s="11"/>
      <c r="C12" s="45" t="s">
        <v>1</v>
      </c>
      <c r="D12" s="46"/>
      <c r="E12" s="22">
        <v>8</v>
      </c>
    </row>
    <row r="13" spans="1:7" ht="16.5" thickBot="1" x14ac:dyDescent="0.3">
      <c r="A13" s="11"/>
      <c r="C13" s="47" t="s">
        <v>2</v>
      </c>
      <c r="D13" s="48"/>
      <c r="E13" s="23">
        <v>1.0789999999999999E-2</v>
      </c>
    </row>
    <row r="14" spans="1:7" ht="16.5" thickBot="1" x14ac:dyDescent="0.3">
      <c r="A14" s="11"/>
      <c r="B14" s="11"/>
      <c r="C14" s="49" t="s">
        <v>3</v>
      </c>
      <c r="D14" s="50"/>
      <c r="E14" s="13">
        <f>FV(Taxa_Mensal,Qtd_anos*12,Aporte)*(-1)</f>
        <v>116896.91969426192</v>
      </c>
    </row>
    <row r="15" spans="1:7" ht="16.5" thickBot="1" x14ac:dyDescent="0.3">
      <c r="A15" s="11"/>
      <c r="B15" s="11"/>
      <c r="C15" s="29" t="s">
        <v>4</v>
      </c>
      <c r="D15" s="30"/>
      <c r="E15" s="14">
        <f>Patrimonio*Rendimento_Carteira</f>
        <v>701.38151816557149</v>
      </c>
    </row>
    <row r="16" spans="1:7" ht="15.75" thickBot="1" x14ac:dyDescent="0.3">
      <c r="A16" s="11"/>
      <c r="B16" s="11"/>
    </row>
    <row r="17" spans="1:5" ht="27" thickBot="1" x14ac:dyDescent="0.3">
      <c r="A17" s="11"/>
      <c r="B17" s="11"/>
      <c r="C17" s="40" t="s">
        <v>15</v>
      </c>
      <c r="D17" s="41"/>
      <c r="E17" s="12" t="s">
        <v>16</v>
      </c>
    </row>
    <row r="18" spans="1:5" ht="16.5" thickBot="1" x14ac:dyDescent="0.3">
      <c r="A18" s="11"/>
      <c r="B18" s="1">
        <v>2</v>
      </c>
      <c r="C18" s="15" t="s">
        <v>6</v>
      </c>
      <c r="D18" s="16">
        <f>FV(Taxa_Mensal,B18*12,Aporte)*(-1)</f>
        <v>19059.339108351651</v>
      </c>
      <c r="E18" s="17">
        <f>D18*Rendimento_Carteira</f>
        <v>114.3560346501099</v>
      </c>
    </row>
    <row r="19" spans="1:5" ht="16.5" thickBot="1" x14ac:dyDescent="0.3">
      <c r="A19" s="11"/>
      <c r="B19" s="1">
        <v>5</v>
      </c>
      <c r="C19" s="15" t="s">
        <v>7</v>
      </c>
      <c r="D19" s="16">
        <f>FV(Taxa_Mensal,B19*12,Aporte)*(-1)</f>
        <v>58643.83979894135</v>
      </c>
      <c r="E19" s="17">
        <f>D19*Rendimento_Carteira</f>
        <v>351.86303879364812</v>
      </c>
    </row>
    <row r="20" spans="1:5" ht="16.5" thickBot="1" x14ac:dyDescent="0.3">
      <c r="A20" s="11"/>
      <c r="B20" s="1">
        <v>10</v>
      </c>
      <c r="C20" s="15" t="s">
        <v>8</v>
      </c>
      <c r="D20" s="16">
        <f>FV(Taxa_Mensal,B20*12,Aporte)*(-1)</f>
        <v>170298.94877112054</v>
      </c>
      <c r="E20" s="17">
        <f>D20*Rendimento_Carteira</f>
        <v>1021.7936926267233</v>
      </c>
    </row>
    <row r="21" spans="1:5" ht="16.5" thickBot="1" x14ac:dyDescent="0.3">
      <c r="A21" s="11"/>
      <c r="B21" s="1">
        <v>20</v>
      </c>
      <c r="C21" s="15" t="s">
        <v>9</v>
      </c>
      <c r="D21" s="16">
        <f>FV(Taxa_Mensal,B21*12,Aporte)*(-1)</f>
        <v>787638.8800679564</v>
      </c>
      <c r="E21" s="17">
        <f>D21*Rendimento_Carteira</f>
        <v>4725.8332804077381</v>
      </c>
    </row>
    <row r="22" spans="1:5" ht="16.5" thickBot="1" x14ac:dyDescent="0.3">
      <c r="A22" s="11"/>
      <c r="B22" s="1">
        <v>30</v>
      </c>
      <c r="C22" s="18" t="s">
        <v>10</v>
      </c>
      <c r="D22" s="19">
        <f>FV(Taxa_Mensal,B22*12,Aporte)*(-1)</f>
        <v>3025518.7585033001</v>
      </c>
      <c r="E22" s="20">
        <f>D22*Rendimento_Carteira</f>
        <v>18153.1125510198</v>
      </c>
    </row>
    <row r="23" spans="1:5" x14ac:dyDescent="0.25"/>
    <row r="24" spans="1:5" ht="15.75" thickBot="1" x14ac:dyDescent="0.3"/>
    <row r="25" spans="1:5" ht="16.5" thickBot="1" x14ac:dyDescent="0.3">
      <c r="C25" s="63" t="s">
        <v>17</v>
      </c>
      <c r="D25" s="64" t="s">
        <v>19</v>
      </c>
      <c r="E25" s="65"/>
    </row>
    <row r="26" spans="1:5" ht="16.5" thickBot="1" x14ac:dyDescent="0.3">
      <c r="C26" s="66" t="s">
        <v>20</v>
      </c>
      <c r="D26" s="67">
        <f>Aporte</f>
        <v>700</v>
      </c>
      <c r="E26" s="68"/>
    </row>
    <row r="27" spans="1:5" ht="16.5" thickBot="1" x14ac:dyDescent="0.3">
      <c r="C27" s="27"/>
      <c r="D27" s="27"/>
      <c r="E27" s="27"/>
    </row>
    <row r="28" spans="1:5" ht="17.25" thickTop="1" thickBot="1" x14ac:dyDescent="0.3">
      <c r="C28" s="71" t="s">
        <v>21</v>
      </c>
      <c r="D28" s="73" t="s">
        <v>22</v>
      </c>
      <c r="E28" s="72" t="s">
        <v>23</v>
      </c>
    </row>
    <row r="29" spans="1:5" ht="17.25" thickTop="1" thickBot="1" x14ac:dyDescent="0.3">
      <c r="C29" s="69" t="s">
        <v>24</v>
      </c>
      <c r="D29" s="76" cm="1">
        <f t="array" ref="D29">VLOOKUP(C29,Planilha3!$A$3:$D$8,_xlfn.IFS($D$25="CONSERVADOR",2,$D$25="MODERADO",3,$D$25="AGRESSIVO",4),FALSE)</f>
        <v>0.5</v>
      </c>
      <c r="E29" s="77">
        <f>D26*FII_PAPEL</f>
        <v>350</v>
      </c>
    </row>
    <row r="30" spans="1:5" ht="17.25" thickTop="1" thickBot="1" x14ac:dyDescent="0.3">
      <c r="C30" s="69" t="s">
        <v>25</v>
      </c>
      <c r="D30" s="78" cm="1">
        <f t="array" ref="D30">VLOOKUP(C30,Planilha3!$A$3:$D$8,_xlfn.IFS($D$25="CONSERVADOR",2,$D$25="MODERADO",3,$D$25="AGRESSIVO",4),FALSE)</f>
        <v>0.1</v>
      </c>
      <c r="E30" s="79">
        <f>D26*FII_TIJOLO</f>
        <v>70</v>
      </c>
    </row>
    <row r="31" spans="1:5" ht="17.25" thickTop="1" thickBot="1" x14ac:dyDescent="0.3">
      <c r="C31" s="69" t="s">
        <v>26</v>
      </c>
      <c r="D31" s="78" cm="1">
        <f t="array" ref="D31">VLOOKUP(C31,Planilha3!$A$3:$D$8,_xlfn.IFS($D$25="CONSERVADOR",2,$D$25="MODERADO",3,$D$25="AGRESSIVO",4),FALSE)</f>
        <v>0.05</v>
      </c>
      <c r="E31" s="79">
        <f>D26*FII_HIBRIDOS</f>
        <v>35</v>
      </c>
    </row>
    <row r="32" spans="1:5" ht="17.25" thickTop="1" thickBot="1" x14ac:dyDescent="0.3">
      <c r="C32" s="69" t="s">
        <v>27</v>
      </c>
      <c r="D32" s="78" cm="1">
        <f t="array" ref="D32">VLOOKUP(C32,Planilha3!$A$3:$D$8,_xlfn.IFS($D$25="CONSERVADOR",2,$D$25="MODERADO",3,$D$25="AGRESSIVO",4),FALSE)</f>
        <v>0.05</v>
      </c>
      <c r="E32" s="79">
        <f>D26*FII_FOFS</f>
        <v>35</v>
      </c>
    </row>
    <row r="33" spans="3:5" ht="17.25" thickTop="1" thickBot="1" x14ac:dyDescent="0.3">
      <c r="C33" s="69" t="s">
        <v>28</v>
      </c>
      <c r="D33" s="78" cm="1">
        <f t="array" ref="D33">VLOOKUP(C33,Planilha3!$A$3:$D$8,_xlfn.IFS($D$25="CONSERVADOR",2,$D$25="MODERADO",3,$D$25="AGRESSIVO",4),FALSE)</f>
        <v>0.2</v>
      </c>
      <c r="E33" s="79">
        <f>D26*FII_DESENV</f>
        <v>140</v>
      </c>
    </row>
    <row r="34" spans="3:5" ht="17.25" thickTop="1" thickBot="1" x14ac:dyDescent="0.3">
      <c r="C34" s="69" t="s">
        <v>29</v>
      </c>
      <c r="D34" s="80" cm="1">
        <f t="array" ref="D34">VLOOKUP(C34,Planilha3!$A$3:$D$8,_xlfn.IFS($D$25="CONSERVADOR",2,$D$25="MODERADO",3,$D$25="AGRESSIVO",4),FALSE)</f>
        <v>0.1</v>
      </c>
      <c r="E34" s="81">
        <f>D26*FII_HOTELARIAS</f>
        <v>70</v>
      </c>
    </row>
    <row r="35" spans="3:5" ht="17.25" thickTop="1" thickBot="1" x14ac:dyDescent="0.3">
      <c r="C35" s="74" t="s">
        <v>31</v>
      </c>
      <c r="D35" s="75"/>
      <c r="E35" s="70">
        <f>SUM(E29:E34)</f>
        <v>700</v>
      </c>
    </row>
    <row r="36" spans="3:5" ht="15.75" thickTop="1" x14ac:dyDescent="0.25"/>
    <row r="37" spans="3:5" x14ac:dyDescent="0.25"/>
    <row r="38" spans="3:5" x14ac:dyDescent="0.25"/>
    <row r="39" spans="3:5" x14ac:dyDescent="0.25"/>
    <row r="40" spans="3:5" x14ac:dyDescent="0.25"/>
    <row r="41" spans="3:5" x14ac:dyDescent="0.25"/>
    <row r="42" spans="3:5" x14ac:dyDescent="0.25"/>
    <row r="43" spans="3:5" x14ac:dyDescent="0.25"/>
    <row r="44" spans="3:5" x14ac:dyDescent="0.25"/>
    <row r="45" spans="3:5" x14ac:dyDescent="0.25"/>
    <row r="46" spans="3:5" x14ac:dyDescent="0.25"/>
    <row r="47" spans="3:5" x14ac:dyDescent="0.25"/>
    <row r="48" spans="3:5" x14ac:dyDescent="0.25"/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hidden="1" x14ac:dyDescent="0.25"/>
    <row r="56" customFormat="1" hidden="1" x14ac:dyDescent="0.25"/>
    <row r="57" customFormat="1" hidden="1" x14ac:dyDescent="0.25"/>
    <row r="58" customFormat="1" hidden="1" x14ac:dyDescent="0.25"/>
    <row r="59" customFormat="1" hidden="1" x14ac:dyDescent="0.25"/>
    <row r="60" customFormat="1" hidden="1" x14ac:dyDescent="0.25"/>
    <row r="61" customFormat="1" hidden="1" x14ac:dyDescent="0.25"/>
  </sheetData>
  <mergeCells count="15">
    <mergeCell ref="D25:E25"/>
    <mergeCell ref="D26:E26"/>
    <mergeCell ref="C35:D35"/>
    <mergeCell ref="C17:D17"/>
    <mergeCell ref="C1:E3"/>
    <mergeCell ref="C10:E10"/>
    <mergeCell ref="C11:D11"/>
    <mergeCell ref="C12:D12"/>
    <mergeCell ref="C13:D13"/>
    <mergeCell ref="C14:D14"/>
    <mergeCell ref="C15:D15"/>
    <mergeCell ref="C6:D6"/>
    <mergeCell ref="C7:D7"/>
    <mergeCell ref="C8:D8"/>
    <mergeCell ref="C5:E5"/>
  </mergeCells>
  <dataValidations disablePrompts="1" count="1">
    <dataValidation type="list" allowBlank="1" showInputMessage="1" showErrorMessage="1" sqref="D25" xr:uid="{254813F7-26D0-4929-8EB1-D1FBCA48FD3C}">
      <formula1>"CONSERVADOR,MODERADO,AGRESSIVO"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492D3-87A0-4650-B11A-CD044DB30ABC}">
  <dimension ref="A1:D8"/>
  <sheetViews>
    <sheetView workbookViewId="0">
      <selection activeCell="C7" sqref="C7"/>
    </sheetView>
  </sheetViews>
  <sheetFormatPr defaultColWidth="0" defaultRowHeight="15" zeroHeight="1" x14ac:dyDescent="0.25"/>
  <cols>
    <col min="1" max="1" width="24.7109375" bestFit="1" customWidth="1"/>
    <col min="2" max="2" width="19" bestFit="1" customWidth="1"/>
    <col min="3" max="3" width="15" bestFit="1" customWidth="1"/>
    <col min="4" max="4" width="14.28515625" bestFit="1" customWidth="1"/>
    <col min="5" max="16384" width="9.140625" hidden="1"/>
  </cols>
  <sheetData>
    <row r="1" spans="1:4" ht="15.75" x14ac:dyDescent="0.25">
      <c r="A1" s="51" t="s">
        <v>21</v>
      </c>
      <c r="B1" s="52" t="s">
        <v>17</v>
      </c>
      <c r="C1" s="52"/>
      <c r="D1" s="53"/>
    </row>
    <row r="2" spans="1:4" ht="15.75" x14ac:dyDescent="0.25">
      <c r="A2" s="54"/>
      <c r="B2" s="55" t="s">
        <v>18</v>
      </c>
      <c r="C2" s="55" t="s">
        <v>30</v>
      </c>
      <c r="D2" s="56" t="s">
        <v>19</v>
      </c>
    </row>
    <row r="3" spans="1:4" ht="15.75" x14ac:dyDescent="0.25">
      <c r="A3" s="57" t="s">
        <v>24</v>
      </c>
      <c r="B3" s="28">
        <v>0.3</v>
      </c>
      <c r="C3" s="28">
        <v>0.32</v>
      </c>
      <c r="D3" s="28">
        <v>0.5</v>
      </c>
    </row>
    <row r="4" spans="1:4" ht="15.75" x14ac:dyDescent="0.25">
      <c r="A4" s="58" t="s">
        <v>25</v>
      </c>
      <c r="B4" s="28">
        <v>0.5</v>
      </c>
      <c r="C4" s="28">
        <v>0.35</v>
      </c>
      <c r="D4" s="28">
        <v>0.1</v>
      </c>
    </row>
    <row r="5" spans="1:4" ht="15.75" x14ac:dyDescent="0.25">
      <c r="A5" s="58" t="s">
        <v>26</v>
      </c>
      <c r="B5" s="28">
        <v>0.1</v>
      </c>
      <c r="C5" s="28">
        <v>0.08</v>
      </c>
      <c r="D5" s="28">
        <v>0.05</v>
      </c>
    </row>
    <row r="6" spans="1:4" ht="15.75" x14ac:dyDescent="0.25">
      <c r="A6" s="58" t="s">
        <v>27</v>
      </c>
      <c r="B6" s="28">
        <v>0.1</v>
      </c>
      <c r="C6" s="28">
        <v>0.05</v>
      </c>
      <c r="D6" s="28">
        <v>0.05</v>
      </c>
    </row>
    <row r="7" spans="1:4" ht="15.75" x14ac:dyDescent="0.25">
      <c r="A7" s="58" t="s">
        <v>28</v>
      </c>
      <c r="B7" s="28">
        <v>0</v>
      </c>
      <c r="C7" s="28">
        <v>0.1</v>
      </c>
      <c r="D7" s="28">
        <v>0.2</v>
      </c>
    </row>
    <row r="8" spans="1:4" ht="15.75" x14ac:dyDescent="0.25">
      <c r="A8" s="59" t="s">
        <v>29</v>
      </c>
      <c r="B8" s="28">
        <v>0</v>
      </c>
      <c r="C8" s="28">
        <v>0.1</v>
      </c>
      <c r="D8" s="28">
        <v>0.1</v>
      </c>
    </row>
  </sheetData>
  <mergeCells count="2">
    <mergeCell ref="B1:D1"/>
    <mergeCell ref="A1:A2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12</vt:i4>
      </vt:variant>
    </vt:vector>
  </HeadingPairs>
  <TitlesOfParts>
    <vt:vector size="14" baseType="lpstr">
      <vt:lpstr>Planilha1</vt:lpstr>
      <vt:lpstr>Planilha3</vt:lpstr>
      <vt:lpstr>Aporte</vt:lpstr>
      <vt:lpstr>FII_DESENV</vt:lpstr>
      <vt:lpstr>FII_FOFS</vt:lpstr>
      <vt:lpstr>FII_HIBRIDOS</vt:lpstr>
      <vt:lpstr>FII_HOTELARIAS</vt:lpstr>
      <vt:lpstr>FII_PAPEL</vt:lpstr>
      <vt:lpstr>FII_TIJOLO</vt:lpstr>
      <vt:lpstr>Patrimonio</vt:lpstr>
      <vt:lpstr>Qtd_anos</vt:lpstr>
      <vt:lpstr>Rendimento_Carteira</vt:lpstr>
      <vt:lpstr>Salario</vt:lpstr>
      <vt:lpstr>Taxa_Mensal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Giliano G. Novais</dc:creator>
  <cp:lastModifiedBy>Giliano G. Novais</cp:lastModifiedBy>
  <dcterms:created xsi:type="dcterms:W3CDTF">2025-12-18T23:55:48Z</dcterms:created>
  <dcterms:modified xsi:type="dcterms:W3CDTF">2025-12-19T22:38:07Z</dcterms:modified>
</cp:coreProperties>
</file>